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tsuo\source\"/>
    </mc:Choice>
  </mc:AlternateContent>
  <xr:revisionPtr revIDLastSave="0" documentId="13_ncr:1_{5D30FDB6-4048-469F-A775-FDEB268B8CF6}" xr6:coauthVersionLast="47" xr6:coauthVersionMax="47" xr10:uidLastSave="{00000000-0000-0000-0000-000000000000}"/>
  <bookViews>
    <workbookView xWindow="-110" yWindow="-110" windowWidth="19420" windowHeight="10300" activeTab="1" xr2:uid="{31A4E7CD-1EF2-48A7-BC62-05C8D740753F}"/>
  </bookViews>
  <sheets>
    <sheet name="電子機器の製造受託会社における調達システム" sheetId="1" r:id="rId1"/>
    <sheet name="社員所属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2" l="1" a="1"/>
  <c r="H11" i="2" s="1"/>
  <c r="H10" i="2" a="1"/>
  <c r="H10" i="2" s="1"/>
  <c r="H9" i="2" a="1"/>
  <c r="H9" i="2" s="1"/>
  <c r="H8" i="2" a="1"/>
  <c r="H8" i="2" s="1"/>
  <c r="H7" i="2" a="1"/>
  <c r="H7" i="2" s="1"/>
  <c r="H6" i="2" a="1"/>
  <c r="H6" i="2" s="1"/>
  <c r="H5" i="2" a="1"/>
  <c r="H5" i="2" s="1"/>
  <c r="H4" i="2" a="1"/>
  <c r="H4" i="2" s="1"/>
  <c r="H3" i="2" a="1"/>
  <c r="H3" i="2" s="1"/>
  <c r="H2" i="2" a="1"/>
  <c r="H2" i="2" s="1"/>
  <c r="F11" i="2" a="1"/>
  <c r="F11" i="2" s="1"/>
  <c r="F10" i="2" a="1"/>
  <c r="F10" i="2" s="1"/>
  <c r="F9" i="2" a="1"/>
  <c r="F9" i="2" s="1"/>
  <c r="F8" i="2" a="1"/>
  <c r="F8" i="2" s="1"/>
  <c r="F7" i="2" a="1"/>
  <c r="F7" i="2" s="1"/>
  <c r="F6" i="2" a="1"/>
  <c r="F6" i="2" s="1"/>
  <c r="F5" i="2" a="1"/>
  <c r="F5" i="2" s="1"/>
  <c r="F4" i="2" a="1"/>
  <c r="F4" i="2" s="1"/>
  <c r="F3" i="2" a="1"/>
  <c r="F3" i="2" s="1"/>
  <c r="F2" i="2" a="1"/>
  <c r="F2" i="2" s="1"/>
  <c r="J1" i="2" l="1"/>
  <c r="G11" i="2"/>
  <c r="G10" i="2"/>
  <c r="G9" i="2"/>
  <c r="G8" i="2"/>
  <c r="G7" i="2"/>
  <c r="G6" i="2"/>
  <c r="G5" i="2"/>
  <c r="G4" i="2"/>
  <c r="G3" i="2"/>
  <c r="G2" i="2"/>
  <c r="D9" i="2" a="1"/>
  <c r="D2" i="1" a="1"/>
  <c r="D5" i="2" a="1"/>
  <c r="D4" i="2" a="1"/>
  <c r="D11" i="2" a="1"/>
  <c r="D10" i="2" a="1"/>
  <c r="D8" i="2" a="1"/>
  <c r="D2" i="2" a="1"/>
  <c r="B2" i="1" a="1"/>
  <c r="D7" i="2" a="1"/>
  <c r="D6" i="2" a="1"/>
  <c r="D3" i="2" a="1"/>
  <c r="F1" i="2" a="1"/>
  <c r="F1" i="2" l="1"/>
  <c r="G1" i="2" s="1"/>
  <c r="D6" i="2"/>
  <c r="D7" i="2"/>
  <c r="D8" i="2"/>
  <c r="D9" i="2"/>
  <c r="D10" i="2"/>
  <c r="D3" i="2"/>
  <c r="D11" i="2"/>
  <c r="D4" i="2"/>
  <c r="D5" i="2"/>
  <c r="D2" i="2"/>
  <c r="D2" i="1"/>
  <c r="B2" i="1"/>
  <c r="J3" i="2" l="1"/>
  <c r="L3" i="2"/>
  <c r="I3" i="2"/>
  <c r="I2" i="2"/>
  <c r="J2" i="2"/>
  <c r="L2" i="2"/>
  <c r="J10" i="2"/>
  <c r="L10" i="2"/>
  <c r="I10" i="2"/>
  <c r="J6" i="2"/>
  <c r="I6" i="2"/>
  <c r="L6" i="2"/>
  <c r="I5" i="2"/>
  <c r="J5" i="2"/>
  <c r="L5" i="2"/>
  <c r="L4" i="2"/>
  <c r="I4" i="2"/>
  <c r="J4" i="2"/>
  <c r="L11" i="2"/>
  <c r="I11" i="2"/>
  <c r="J11" i="2"/>
  <c r="J9" i="2"/>
  <c r="L9" i="2"/>
  <c r="I9" i="2"/>
  <c r="J8" i="2"/>
  <c r="L8" i="2"/>
  <c r="I8" i="2"/>
  <c r="J7" i="2"/>
  <c r="L7" i="2"/>
  <c r="I7" i="2"/>
  <c r="M1" i="2"/>
  <c r="K1" i="2"/>
  <c r="I1" i="2"/>
  <c r="L1" i="2"/>
  <c r="H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<sst xmlns="http://schemas.openxmlformats.org/spreadsheetml/2006/main" count="40" uniqueCount="30">
  <si>
    <t>社員コード</t>
  </si>
  <si>
    <t>社員氏名</t>
  </si>
  <si>
    <t>社員所属組織コード</t>
  </si>
  <si>
    <t>社員所属組織名</t>
  </si>
  <si>
    <t>社員所属上位組織コード</t>
  </si>
  <si>
    <t>社員所属上位組織名</t>
  </si>
  <si>
    <t>社員役職コード</t>
  </si>
  <si>
    <t>社員役職名</t>
  </si>
  <si>
    <t>報告先社員コード</t>
  </si>
  <si>
    <t>報告先社員氏名</t>
  </si>
  <si>
    <t>EmployeeCode</t>
  </si>
  <si>
    <t>EmployeeFullName</t>
  </si>
  <si>
    <t>ReportTargetEmployeeCode</t>
  </si>
  <si>
    <t>ReportTargetEmployeeFullName</t>
  </si>
  <si>
    <t>EmployeeBelonging</t>
    <phoneticPr fontId="1"/>
  </si>
  <si>
    <t>#</t>
    <phoneticPr fontId="1"/>
  </si>
  <si>
    <t>論理名</t>
    <rPh sb="0" eb="3">
      <t>ロンリメイ</t>
    </rPh>
    <phoneticPr fontId="1"/>
  </si>
  <si>
    <t>クラス名</t>
    <rPh sb="3" eb="4">
      <t>メイ</t>
    </rPh>
    <phoneticPr fontId="1"/>
  </si>
  <si>
    <t>テーブル名</t>
    <rPh sb="4" eb="5">
      <t>メイ</t>
    </rPh>
    <phoneticPr fontId="1"/>
  </si>
  <si>
    <t>列名</t>
    <rPh sb="0" eb="2">
      <t>レツメイ</t>
    </rPh>
    <phoneticPr fontId="1"/>
  </si>
  <si>
    <t>プロパティ名</t>
    <rPh sb="5" eb="6">
      <t>メイ</t>
    </rPh>
    <phoneticPr fontId="1"/>
  </si>
  <si>
    <t>型</t>
    <rPh sb="0" eb="1">
      <t>カタ</t>
    </rPh>
    <phoneticPr fontId="1"/>
  </si>
  <si>
    <t>Integer</t>
    <phoneticPr fontId="1"/>
  </si>
  <si>
    <t>String</t>
    <phoneticPr fontId="1"/>
  </si>
  <si>
    <t>EmployeeBelongingOrganizationCode</t>
  </si>
  <si>
    <t>EmployeeBelongingOrganizationName</t>
  </si>
  <si>
    <t>EmployeeBelongingUpperOrganizationCode</t>
  </si>
  <si>
    <t>EmployeeBelongingUpperOrganizationName</t>
  </si>
  <si>
    <t>EmployeePositionCode</t>
  </si>
  <si>
    <t>EmployeePositionName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</si>
</sst>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F4A30-CC68-40AE-BAAF-4503F248E7FF}">
  <sheetPr codeName="Sheet1"/>
  <dimension ref="A1:D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sheetData>
    <row r="1" spans="1:4" x14ac:dyDescent="0.55000000000000004">
      <c r="A1" t="s">
        <v>15</v>
      </c>
      <c r="B1" t="s">
        <v>16</v>
      </c>
      <c r="C1" t="s">
        <v>17</v>
      </c>
      <c r="D1" t="s">
        <v>18</v>
      </c>
    </row>
    <row r="2" spans="1:4" x14ac:dyDescent="0.55000000000000004">
      <c r="A2">
        <v>1</v>
      </c>
      <c r="B2" t="str" cm="1">
        <f t="array" ref="B2">sheetname($A2+1)</f>
        <v>社員所属</v>
      </c>
      <c r="C2" t="s">
        <v>14</v>
      </c>
      <c r="D2" t="str" cm="1">
        <f t="array" ref="D2">ToSnakeCase($C2)</f>
        <v>employee_belonging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0467F-1DF3-47A5-9820-DF510AB962FB}">
  <sheetPr codeName="Sheet2"/>
  <dimension ref="A1:M1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1640625" bestFit="1" customWidth="1"/>
    <col min="2" max="4" width="8.6640625" customWidth="1"/>
  </cols>
  <sheetData>
    <row r="1" spans="1:13" x14ac:dyDescent="0.55000000000000004">
      <c r="A1" t="s">
        <v>15</v>
      </c>
      <c r="B1" t="s">
        <v>16</v>
      </c>
      <c r="C1" t="s">
        <v>20</v>
      </c>
      <c r="D1" t="s">
        <v>19</v>
      </c>
      <c r="E1" t="s">
        <v>21</v>
      </c>
      <c r="F1" cm="1">
        <f t="array" aca="1" ref="F1" ca="1">SheetIndex(RIGHT(CELL("filename",$A$1),LEN(CELL("filename",$A$1))-FIND("]",CELL("filename",$A$1))))-1</f>
        <v>1</v>
      </c>
      <c r="G1" t="str">
        <f ca="1">"Public Class "&amp;VLOOKUP($F1,電子機器の製造受託会社における調達システム!$A:$D,3,FALSE)</f>
        <v>Public Class EmployeeBelonging</v>
      </c>
      <c r="H1" t="str">
        <f ca="1">"CREATE TABLE "&amp;VLOOKUP($F1,電子機器の製造受託会社における調達システム!$A:$D,4,FALSE)&amp;" ("</f>
        <v>CREATE TABLE employee_belonging (</v>
      </c>
      <c r="I1" t="str">
        <f ca="1">"INSERT INTO "&amp;VLOOKUP($F1,電子機器の製造受託会社における調達システム!$A:$D,4,FALSE)&amp;" ("</f>
        <v>INSERT INTO employee_belonging (</v>
      </c>
      <c r="J1" t="str">
        <f>"VALUES ("</f>
        <v>VALUES (</v>
      </c>
      <c r="K1" t="str">
        <f ca="1">"SELECT * FROM "&amp;VLOOKUP($F1,電子機器の製造受託会社における調達システム!$A:$D,4,FALSE)</f>
        <v>SELECT * FROM employee_belonging</v>
      </c>
      <c r="L1" t="str">
        <f ca="1">"UPDATE "&amp;VLOOKUP($F1,電子機器の製造受託会社における調達システム!$A:$D,4,FALSE)</f>
        <v>UPDATE employee_belonging</v>
      </c>
      <c r="M1" t="str">
        <f ca="1">"DELETE FROM "&amp;VLOOKUP($F1,電子機器の製造受託会社における調達システム!$A:$D,4,FALSE)</f>
        <v>DELETE FROM employee_belonging</v>
      </c>
    </row>
    <row r="2" spans="1:13" x14ac:dyDescent="0.55000000000000004">
      <c r="A2">
        <v>1</v>
      </c>
      <c r="B2" t="s">
        <v>0</v>
      </c>
      <c r="C2" t="s">
        <v>10</v>
      </c>
      <c r="D2" t="str" cm="1">
        <f t="array" ref="D2">ToSnakeCase($C2)</f>
        <v>employee_code</v>
      </c>
      <c r="E2" t="s">
        <v>22</v>
      </c>
      <c r="F2" t="str" cm="1">
        <f t="array" ref="F2">_xlfn.SWITCH(LOWER(SUBSTITUTE($E2,"?","")),"boolean","BOOLEAN","byte","NUMBER(3)","sbyte","NUMBER(3)","short","NUMBER(5)","ushort","NUMBER(5)","integer","NUMBER(10)","uinteger","NUMBER(10)","long","NUMBER(19)","ulong","NUMBER(20)","float","BINARY_FLOAT","double","BINARY_FLOAT","decimal","NUMBER(18,2)","string","NVARCHAR2(255)","datetime","TIMESTAMP(7)","")</f>
        <v>NUMBER(10)</v>
      </c>
      <c r="G2" t="str">
        <f t="shared" ref="G2:G11" si="0">CHAR(9)&amp;"Property "&amp;$C2&amp;" As "&amp;$E2</f>
        <v xml:space="preserve">	Property EmployeeCode As Integer</v>
      </c>
      <c r="H2" t="str" cm="1">
        <f t="array" ref="H2">CHAR(9)&amp;$D2&amp;" "&amp;IF($F2="","INTEGER",$F2)&amp;IF(RIGHT($E2)="?"," DEFAULT NULL"," NOT NULL")&amp;IF($F2=""," REFERENCES "&amp;ToSnakeCase(SUBSTITUTE($E2,"?",""))&amp;"(id)","")&amp;","</f>
        <v xml:space="preserve">	employee_code NUMBER(10) NOT NULL,</v>
      </c>
      <c r="I2" t="str">
        <f ca="1">CHAR(9)&amp;$D2&amp;IF(OFFSET($B2,1,0)="",");",",")</f>
        <v xml:space="preserve">	employee_code,</v>
      </c>
      <c r="J2" t="str">
        <f ca="1">CHAR(9)&amp;IF(OR($D2="created_at",$D2="updated_at"),"SYSDATE",":"&amp;$D2)&amp;IF(OFFSET($B2,1,0)="",");",",")</f>
        <v xml:space="preserve">	:employee_code,</v>
      </c>
      <c r="L2" t="str">
        <f t="shared" ref="L2:L11" ca="1" si="1">IF($D2="created_at","",CHAR(9)&amp;$D2&amp;" = "&amp;IF($D2="updated_at","SYSDATE",":"&amp;$D2)&amp;IF(OFFSET($B2,1,0)="","WHERE id = :id;",","))</f>
        <v xml:space="preserve">	employee_code = :employee_code,</v>
      </c>
    </row>
    <row r="3" spans="1:13" x14ac:dyDescent="0.55000000000000004">
      <c r="A3">
        <v>2</v>
      </c>
      <c r="B3" t="s">
        <v>1</v>
      </c>
      <c r="C3" t="s">
        <v>11</v>
      </c>
      <c r="D3" t="str" cm="1">
        <f t="array" ref="D3">ToSnakeCase($C3)</f>
        <v>employee_full_name</v>
      </c>
      <c r="E3" t="s">
        <v>23</v>
      </c>
      <c r="F3" t="str" cm="1">
        <f t="array" ref="F3">_xlfn.SWITCH(LOWER(SUBSTITUTE($E3,"?","")),"boolean","BOOLEAN","byte","NUMBER(3)","sbyte","NUMBER(3)","short","NUMBER(5)","ushort","NUMBER(5)","integer","NUMBER(10)","uinteger","NUMBER(10)","long","NUMBER(19)","ulong","NUMBER(20)","float","BINARY_FLOAT","double","BINARY_FLOAT","decimal","NUMBER(18,2)","string","NVARCHAR2(255)","datetime","TIMESTAMP(7)","")</f>
        <v>NVARCHAR2(255)</v>
      </c>
      <c r="G3" t="str">
        <f t="shared" si="0"/>
        <v xml:space="preserve">	Property EmployeeFullName As String</v>
      </c>
      <c r="H3" t="str" cm="1">
        <f t="array" ref="H3">CHAR(9)&amp;$D3&amp;" "&amp;IF($F3="","INTEGER",$F3)&amp;IF(RIGHT($E3)="?"," DEFAULT NULL"," NOT NULL")&amp;IF($F3=""," REFERENCES "&amp;ToSnakeCase(SUBSTITUTE($E3,"?",""))&amp;"(id)","")&amp;","</f>
        <v xml:space="preserve">	employee_full_name NVARCHAR2(255) NOT NULL,</v>
      </c>
      <c r="I3" t="str">
        <f t="shared" ref="I3:I11" ca="1" si="2">CHAR(9)&amp;$D3&amp;IF(OFFSET($B3,1,0)="",");",",")</f>
        <v xml:space="preserve">	employee_full_name,</v>
      </c>
      <c r="J3" t="str">
        <f t="shared" ref="J3:J11" ca="1" si="3">CHAR(9)&amp;IF(OR($D3="created_at",$D3="updated_at"),"SYSDATE",":"&amp;$D3)&amp;IF(OFFSET($B3,1,0)="",");",",")</f>
        <v xml:space="preserve">	:employee_full_name,</v>
      </c>
      <c r="L3" t="str">
        <f t="shared" ca="1" si="1"/>
        <v xml:space="preserve">	employee_full_name = :employee_full_name,</v>
      </c>
    </row>
    <row r="4" spans="1:13" x14ac:dyDescent="0.55000000000000004">
      <c r="A4">
        <v>3</v>
      </c>
      <c r="B4" t="s">
        <v>2</v>
      </c>
      <c r="C4" t="s">
        <v>24</v>
      </c>
      <c r="D4" t="str" cm="1">
        <f t="array" ref="D4">ToSnakeCase($C4)</f>
        <v>employee_belonging_organization_code</v>
      </c>
      <c r="E4" t="s">
        <v>22</v>
      </c>
      <c r="F4" t="str" cm="1">
        <f t="array" ref="F4">_xlfn.SWITCH(LOWER(SUBSTITUTE($E4,"?","")),"boolean","BOOLEAN","byte","NUMBER(3)","sbyte","NUMBER(3)","short","NUMBER(5)","ushort","NUMBER(5)","integer","NUMBER(10)","uinteger","NUMBER(10)","long","NUMBER(19)","ulong","NUMBER(20)","float","BINARY_FLOAT","double","BINARY_FLOAT","decimal","NUMBER(18,2)","string","NVARCHAR2(255)","datetime","TIMESTAMP(7)","")</f>
        <v>NUMBER(10)</v>
      </c>
      <c r="G4" t="str">
        <f t="shared" si="0"/>
        <v xml:space="preserve">	Property EmployeeBelongingOrganizationCode As Integer</v>
      </c>
      <c r="H4" t="str" cm="1">
        <f t="array" ref="H4">CHAR(9)&amp;$D4&amp;" "&amp;IF($F4="","INTEGER",$F4)&amp;IF(RIGHT($E4)="?"," DEFAULT NULL"," NOT NULL")&amp;IF($F4=""," REFERENCES "&amp;ToSnakeCase(SUBSTITUTE($E4,"?",""))&amp;"(id)","")&amp;","</f>
        <v xml:space="preserve">	employee_belonging_organization_code NUMBER(10) NOT NULL,</v>
      </c>
      <c r="I4" t="str">
        <f t="shared" ca="1" si="2"/>
        <v xml:space="preserve">	employee_belonging_organization_code,</v>
      </c>
      <c r="J4" t="str">
        <f t="shared" ca="1" si="3"/>
        <v xml:space="preserve">	:employee_belonging_organization_code,</v>
      </c>
      <c r="L4" t="str">
        <f t="shared" ca="1" si="1"/>
        <v xml:space="preserve">	employee_belonging_organization_code = :employee_belonging_organization_code,</v>
      </c>
    </row>
    <row r="5" spans="1:13" x14ac:dyDescent="0.55000000000000004">
      <c r="A5">
        <v>4</v>
      </c>
      <c r="B5" t="s">
        <v>3</v>
      </c>
      <c r="C5" t="s">
        <v>25</v>
      </c>
      <c r="D5" t="str" cm="1">
        <f t="array" ref="D5">ToSnakeCase($C5)</f>
        <v>employee_belonging_organization_name</v>
      </c>
      <c r="E5" t="s">
        <v>23</v>
      </c>
      <c r="F5" t="str" cm="1">
        <f t="array" ref="F5">_xlfn.SWITCH(LOWER(SUBSTITUTE($E5,"?","")),"boolean","BOOLEAN","byte","NUMBER(3)","sbyte","NUMBER(3)","short","NUMBER(5)","ushort","NUMBER(5)","integer","NUMBER(10)","uinteger","NUMBER(10)","long","NUMBER(19)","ulong","NUMBER(20)","float","BINARY_FLOAT","double","BINARY_FLOAT","decimal","NUMBER(18,2)","string","NVARCHAR2(255)","datetime","TIMESTAMP(7)","")</f>
        <v>NVARCHAR2(255)</v>
      </c>
      <c r="G5" t="str">
        <f t="shared" si="0"/>
        <v xml:space="preserve">	Property EmployeeBelongingOrganizationName As String</v>
      </c>
      <c r="H5" t="str" cm="1">
        <f t="array" ref="H5">CHAR(9)&amp;$D5&amp;" "&amp;IF($F5="","INTEGER",$F5)&amp;IF(RIGHT($E5)="?"," DEFAULT NULL"," NOT NULL")&amp;IF($F5=""," REFERENCES "&amp;ToSnakeCase(SUBSTITUTE($E5,"?",""))&amp;"(id)","")&amp;","</f>
        <v xml:space="preserve">	employee_belonging_organization_name NVARCHAR2(255) NOT NULL,</v>
      </c>
      <c r="I5" t="str">
        <f t="shared" ca="1" si="2"/>
        <v xml:space="preserve">	employee_belonging_organization_name,</v>
      </c>
      <c r="J5" t="str">
        <f t="shared" ca="1" si="3"/>
        <v xml:space="preserve">	:employee_belonging_organization_name,</v>
      </c>
      <c r="L5" t="str">
        <f t="shared" ca="1" si="1"/>
        <v xml:space="preserve">	employee_belonging_organization_name = :employee_belonging_organization_name,</v>
      </c>
    </row>
    <row r="6" spans="1:13" x14ac:dyDescent="0.55000000000000004">
      <c r="A6">
        <v>5</v>
      </c>
      <c r="B6" t="s">
        <v>4</v>
      </c>
      <c r="C6" t="s">
        <v>26</v>
      </c>
      <c r="D6" t="str" cm="1">
        <f t="array" ref="D6">ToSnakeCase($C6)</f>
        <v>employee_belonging_upper_organization_code</v>
      </c>
      <c r="E6" t="s">
        <v>22</v>
      </c>
      <c r="F6" t="str" cm="1">
        <f t="array" ref="F6">_xlfn.SWITCH(LOWER(SUBSTITUTE($E6,"?","")),"boolean","BOOLEAN","byte","NUMBER(3)","sbyte","NUMBER(3)","short","NUMBER(5)","ushort","NUMBER(5)","integer","NUMBER(10)","uinteger","NUMBER(10)","long","NUMBER(19)","ulong","NUMBER(20)","float","BINARY_FLOAT","double","BINARY_FLOAT","decimal","NUMBER(18,2)","string","NVARCHAR2(255)","datetime","TIMESTAMP(7)","")</f>
        <v>NUMBER(10)</v>
      </c>
      <c r="G6" t="str">
        <f t="shared" si="0"/>
        <v xml:space="preserve">	Property EmployeeBelongingUpperOrganizationCode As Integer</v>
      </c>
      <c r="H6" t="str" cm="1">
        <f t="array" ref="H6">CHAR(9)&amp;$D6&amp;" "&amp;IF($F6="","INTEGER",$F6)&amp;IF(RIGHT($E6)="?"," DEFAULT NULL"," NOT NULL")&amp;IF($F6=""," REFERENCES "&amp;ToSnakeCase(SUBSTITUTE($E6,"?",""))&amp;"(id)","")&amp;","</f>
        <v xml:space="preserve">	employee_belonging_upper_organization_code NUMBER(10) NOT NULL,</v>
      </c>
      <c r="I6" t="str">
        <f t="shared" ca="1" si="2"/>
        <v xml:space="preserve">	employee_belonging_upper_organization_code,</v>
      </c>
      <c r="J6" t="str">
        <f t="shared" ca="1" si="3"/>
        <v xml:space="preserve">	:employee_belonging_upper_organization_code,</v>
      </c>
      <c r="L6" t="str">
        <f t="shared" ca="1" si="1"/>
        <v xml:space="preserve">	employee_belonging_upper_organization_code = :employee_belonging_upper_organization_code,</v>
      </c>
    </row>
    <row r="7" spans="1:13" x14ac:dyDescent="0.55000000000000004">
      <c r="A7">
        <v>6</v>
      </c>
      <c r="B7" t="s">
        <v>5</v>
      </c>
      <c r="C7" t="s">
        <v>27</v>
      </c>
      <c r="D7" t="str" cm="1">
        <f t="array" ref="D7">ToSnakeCase($C7)</f>
        <v>employee_belonging_upper_organization_name</v>
      </c>
      <c r="E7" t="s">
        <v>23</v>
      </c>
      <c r="F7" t="str" cm="1">
        <f t="array" ref="F7">_xlfn.SWITCH(LOWER(SUBSTITUTE($E7,"?","")),"boolean","BOOLEAN","byte","NUMBER(3)","sbyte","NUMBER(3)","short","NUMBER(5)","ushort","NUMBER(5)","integer","NUMBER(10)","uinteger","NUMBER(10)","long","NUMBER(19)","ulong","NUMBER(20)","float","BINARY_FLOAT","double","BINARY_FLOAT","decimal","NUMBER(18,2)","string","NVARCHAR2(255)","datetime","TIMESTAMP(7)","")</f>
        <v>NVARCHAR2(255)</v>
      </c>
      <c r="G7" t="str">
        <f t="shared" si="0"/>
        <v xml:space="preserve">	Property EmployeeBelongingUpperOrganizationName As String</v>
      </c>
      <c r="H7" t="str" cm="1">
        <f t="array" ref="H7">CHAR(9)&amp;$D7&amp;" "&amp;IF($F7="","INTEGER",$F7)&amp;IF(RIGHT($E7)="?"," DEFAULT NULL"," NOT NULL")&amp;IF($F7=""," REFERENCES "&amp;ToSnakeCase(SUBSTITUTE($E7,"?",""))&amp;"(id)","")&amp;","</f>
        <v xml:space="preserve">	employee_belonging_upper_organization_name NVARCHAR2(255) NOT NULL,</v>
      </c>
      <c r="I7" t="str">
        <f t="shared" ca="1" si="2"/>
        <v xml:space="preserve">	employee_belonging_upper_organization_name,</v>
      </c>
      <c r="J7" t="str">
        <f t="shared" ca="1" si="3"/>
        <v xml:space="preserve">	:employee_belonging_upper_organization_name,</v>
      </c>
      <c r="L7" t="str">
        <f t="shared" ca="1" si="1"/>
        <v xml:space="preserve">	employee_belonging_upper_organization_name = :employee_belonging_upper_organization_name,</v>
      </c>
    </row>
    <row r="8" spans="1:13" x14ac:dyDescent="0.55000000000000004">
      <c r="A8">
        <v>7</v>
      </c>
      <c r="B8" t="s">
        <v>6</v>
      </c>
      <c r="C8" t="s">
        <v>28</v>
      </c>
      <c r="D8" t="str" cm="1">
        <f t="array" ref="D8">ToSnakeCase($C8)</f>
        <v>employee_position_code</v>
      </c>
      <c r="E8" t="s">
        <v>22</v>
      </c>
      <c r="F8" t="str" cm="1">
        <f t="array" ref="F8">_xlfn.SWITCH(LOWER(SUBSTITUTE($E8,"?","")),"boolean","BOOLEAN","byte","NUMBER(3)","sbyte","NUMBER(3)","short","NUMBER(5)","ushort","NUMBER(5)","integer","NUMBER(10)","uinteger","NUMBER(10)","long","NUMBER(19)","ulong","NUMBER(20)","float","BINARY_FLOAT","double","BINARY_FLOAT","decimal","NUMBER(18,2)","string","NVARCHAR2(255)","datetime","TIMESTAMP(7)","")</f>
        <v>NUMBER(10)</v>
      </c>
      <c r="G8" t="str">
        <f t="shared" si="0"/>
        <v xml:space="preserve">	Property EmployeePositionCode As Integer</v>
      </c>
      <c r="H8" t="str" cm="1">
        <f t="array" ref="H8">CHAR(9)&amp;$D8&amp;" "&amp;IF($F8="","INTEGER",$F8)&amp;IF(RIGHT($E8)="?"," DEFAULT NULL"," NOT NULL")&amp;IF($F8=""," REFERENCES "&amp;ToSnakeCase(SUBSTITUTE($E8,"?",""))&amp;"(id)","")&amp;","</f>
        <v xml:space="preserve">	employee_position_code NUMBER(10) NOT NULL,</v>
      </c>
      <c r="I8" t="str">
        <f t="shared" ca="1" si="2"/>
        <v xml:space="preserve">	employee_position_code,</v>
      </c>
      <c r="J8" t="str">
        <f t="shared" ca="1" si="3"/>
        <v xml:space="preserve">	:employee_position_code,</v>
      </c>
      <c r="L8" t="str">
        <f t="shared" ca="1" si="1"/>
        <v xml:space="preserve">	employee_position_code = :employee_position_code,</v>
      </c>
    </row>
    <row r="9" spans="1:13" x14ac:dyDescent="0.55000000000000004">
      <c r="A9">
        <v>8</v>
      </c>
      <c r="B9" t="s">
        <v>7</v>
      </c>
      <c r="C9" t="s">
        <v>29</v>
      </c>
      <c r="D9" t="str" cm="1">
        <f t="array" ref="D9">ToSnakeCase($C9)</f>
        <v>employee_position_name</v>
      </c>
      <c r="E9" t="s">
        <v>23</v>
      </c>
      <c r="F9" t="str" cm="1">
        <f t="array" ref="F9">_xlfn.SWITCH(LOWER(SUBSTITUTE($E9,"?","")),"boolean","BOOLEAN","byte","NUMBER(3)","sbyte","NUMBER(3)","short","NUMBER(5)","ushort","NUMBER(5)","integer","NUMBER(10)","uinteger","NUMBER(10)","long","NUMBER(19)","ulong","NUMBER(20)","float","BINARY_FLOAT","double","BINARY_FLOAT","decimal","NUMBER(18,2)","string","NVARCHAR2(255)","datetime","TIMESTAMP(7)","")</f>
        <v>NVARCHAR2(255)</v>
      </c>
      <c r="G9" t="str">
        <f t="shared" si="0"/>
        <v xml:space="preserve">	Property EmployeePositionName As String</v>
      </c>
      <c r="H9" t="str" cm="1">
        <f t="array" ref="H9">CHAR(9)&amp;$D9&amp;" "&amp;IF($F9="","INTEGER",$F9)&amp;IF(RIGHT($E9)="?"," DEFAULT NULL"," NOT NULL")&amp;IF($F9=""," REFERENCES "&amp;ToSnakeCase(SUBSTITUTE($E9,"?",""))&amp;"(id)","")&amp;","</f>
        <v xml:space="preserve">	employee_position_name NVARCHAR2(255) NOT NULL,</v>
      </c>
      <c r="I9" t="str">
        <f t="shared" ca="1" si="2"/>
        <v xml:space="preserve">	employee_position_name,</v>
      </c>
      <c r="J9" t="str">
        <f t="shared" ca="1" si="3"/>
        <v xml:space="preserve">	:employee_position_name,</v>
      </c>
      <c r="L9" t="str">
        <f t="shared" ca="1" si="1"/>
        <v xml:space="preserve">	employee_position_name = :employee_position_name,</v>
      </c>
    </row>
    <row r="10" spans="1:13" x14ac:dyDescent="0.55000000000000004">
      <c r="A10">
        <v>9</v>
      </c>
      <c r="B10" t="s">
        <v>8</v>
      </c>
      <c r="C10" t="s">
        <v>12</v>
      </c>
      <c r="D10" t="str" cm="1">
        <f t="array" ref="D10">ToSnakeCase($C10)</f>
        <v>report_target_employee_code</v>
      </c>
      <c r="E10" t="s">
        <v>22</v>
      </c>
      <c r="F10" t="str" cm="1">
        <f t="array" ref="F10">_xlfn.SWITCH(LOWER(SUBSTITUTE($E10,"?","")),"boolean","BOOLEAN","byte","NUMBER(3)","sbyte","NUMBER(3)","short","NUMBER(5)","ushort","NUMBER(5)","integer","NUMBER(10)","uinteger","NUMBER(10)","long","NUMBER(19)","ulong","NUMBER(20)","float","BINARY_FLOAT","double","BINARY_FLOAT","decimal","NUMBER(18,2)","string","NVARCHAR2(255)","datetime","TIMESTAMP(7)","")</f>
        <v>NUMBER(10)</v>
      </c>
      <c r="G10" t="str">
        <f t="shared" si="0"/>
        <v xml:space="preserve">	Property ReportTargetEmployeeCode As Integer</v>
      </c>
      <c r="H10" t="str" cm="1">
        <f t="array" ref="H10">CHAR(9)&amp;$D10&amp;" "&amp;IF($F10="","INTEGER",$F10)&amp;IF(RIGHT($E10)="?"," DEFAULT NULL"," NOT NULL")&amp;IF($F10=""," REFERENCES "&amp;ToSnakeCase(SUBSTITUTE($E10,"?",""))&amp;"(id)","")&amp;","</f>
        <v xml:space="preserve">	report_target_employee_code NUMBER(10) NOT NULL,</v>
      </c>
      <c r="I10" t="str">
        <f t="shared" ca="1" si="2"/>
        <v xml:space="preserve">	report_target_employee_code,</v>
      </c>
      <c r="J10" t="str">
        <f t="shared" ca="1" si="3"/>
        <v xml:space="preserve">	:report_target_employee_code,</v>
      </c>
      <c r="L10" t="str">
        <f t="shared" ca="1" si="1"/>
        <v xml:space="preserve">	report_target_employee_code = :report_target_employee_code,</v>
      </c>
    </row>
    <row r="11" spans="1:13" x14ac:dyDescent="0.55000000000000004">
      <c r="A11">
        <v>10</v>
      </c>
      <c r="B11" t="s">
        <v>9</v>
      </c>
      <c r="C11" t="s">
        <v>13</v>
      </c>
      <c r="D11" t="str" cm="1">
        <f t="array" ref="D11">ToSnakeCase($C11)</f>
        <v>report_target_employee_full_name</v>
      </c>
      <c r="E11" t="s">
        <v>23</v>
      </c>
      <c r="F11" t="str" cm="1">
        <f t="array" ref="F11">_xlfn.SWITCH(LOWER(SUBSTITUTE($E11,"?","")),"boolean","BOOLEAN","byte","NUMBER(3)","sbyte","NUMBER(3)","short","NUMBER(5)","ushort","NUMBER(5)","integer","NUMBER(10)","uinteger","NUMBER(10)","long","NUMBER(19)","ulong","NUMBER(20)","float","BINARY_FLOAT","double","BINARY_FLOAT","decimal","NUMBER(18,2)","string","NVARCHAR2(255)","datetime","TIMESTAMP(7)","")</f>
        <v>NVARCHAR2(255)</v>
      </c>
      <c r="G11" t="str">
        <f t="shared" si="0"/>
        <v xml:space="preserve">	Property ReportTargetEmployeeFullName As String</v>
      </c>
      <c r="H11" t="str" cm="1">
        <f t="array" ref="H11">CHAR(9)&amp;$D11&amp;" "&amp;IF($F11="","INTEGER",$F11)&amp;IF(RIGHT($E11)="?"," DEFAULT NULL"," NOT NULL")&amp;IF($F11=""," REFERENCES "&amp;ToSnakeCase(SUBSTITUTE($E11,"?",""))&amp;"(id)","")&amp;","</f>
        <v xml:space="preserve">	report_target_employee_full_name NVARCHAR2(255) NOT NULL,</v>
      </c>
      <c r="I11" t="str">
        <f t="shared" ca="1" si="2"/>
        <v xml:space="preserve">	report_target_employee_full_name);</v>
      </c>
      <c r="J11" t="str">
        <f t="shared" ca="1" si="3"/>
        <v xml:space="preserve">	:report_target_employee_full_name);</v>
      </c>
      <c r="L11" t="str">
        <f t="shared" ca="1" si="1"/>
        <v xml:space="preserve">	report_target_employee_full_name = :report_target_employee_full_nameWHERE id = :id;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C93078-F3A4-4793-B4C0-2C805C628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電子機器の製造受託会社における調達システム</vt:lpstr>
      <vt:lpstr>社員所属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敦雄 河内</dc:creator>
  <cp:lastModifiedBy>敦雄 河内</cp:lastModifiedBy>
  <dcterms:created xsi:type="dcterms:W3CDTF">2026-06-11T06:56:06Z</dcterms:created>
  <dcterms:modified xsi:type="dcterms:W3CDTF">2026-06-26T10:07:04Z</dcterms:modified>
</cp:coreProperties>
</file>